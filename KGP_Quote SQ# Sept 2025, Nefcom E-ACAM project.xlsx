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gptel-my.sharepoint.com/personal/anna_callicoat_kgpco_com/Documents/Quotes/"/>
    </mc:Choice>
  </mc:AlternateContent>
  <xr:revisionPtr revIDLastSave="7" documentId="14_{E6AFA841-CBBD-44A2-9949-37611FD28BD1}" xr6:coauthVersionLast="47" xr6:coauthVersionMax="47" xr10:uidLastSave="{0847AA56-D71B-4A36-97A8-97FE6BDFF3DD}"/>
  <bookViews>
    <workbookView xWindow="-110" yWindow="-110" windowWidth="19420" windowHeight="10300" xr2:uid="{AF1E6481-9C77-40B9-92C7-2ABD1D095FF9}"/>
  </bookViews>
  <sheets>
    <sheet name="Cost Estimate" sheetId="1" r:id="rId1"/>
    <sheet name="Serving Areas" sheetId="2" r:id="rId2"/>
  </sheets>
  <definedNames>
    <definedName name="_xlnm._FilterDatabase" localSheetId="1" hidden="1">'Serving Areas'!$A$1:$AA$17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4" i="2" l="1"/>
  <c r="L13" i="2"/>
  <c r="L12" i="2"/>
  <c r="L11" i="2"/>
  <c r="L10" i="2"/>
  <c r="L9" i="2"/>
  <c r="L8" i="2"/>
  <c r="L7" i="2"/>
  <c r="L6" i="2"/>
  <c r="L5" i="2"/>
  <c r="L4" i="2"/>
  <c r="L3" i="2"/>
  <c r="L2" i="2"/>
  <c r="J14" i="2"/>
  <c r="J13" i="2"/>
  <c r="J12" i="2"/>
  <c r="J11" i="2"/>
  <c r="J10" i="2"/>
  <c r="J9" i="2"/>
  <c r="J8" i="2"/>
  <c r="J7" i="2"/>
  <c r="J6" i="2"/>
  <c r="J5" i="2"/>
  <c r="J4" i="2"/>
  <c r="J3" i="2"/>
  <c r="J2" i="2"/>
  <c r="H14" i="2"/>
  <c r="H13" i="2"/>
  <c r="H12" i="2"/>
  <c r="H11" i="2"/>
  <c r="H10" i="2"/>
  <c r="H9" i="2"/>
  <c r="H8" i="2"/>
  <c r="H7" i="2"/>
  <c r="H6" i="2"/>
  <c r="H5" i="2"/>
  <c r="H4" i="2"/>
  <c r="H3" i="2"/>
  <c r="H2" i="2"/>
  <c r="O13" i="2" l="1"/>
  <c r="Q14" i="2" l="1"/>
  <c r="T14" i="2"/>
  <c r="Q13" i="2"/>
  <c r="T13" i="2"/>
  <c r="F15" i="2" l="1"/>
  <c r="Z15" i="2"/>
  <c r="Y15" i="2"/>
  <c r="E8" i="1" s="1"/>
  <c r="V15" i="2"/>
  <c r="E22" i="1" s="1"/>
  <c r="U15" i="2"/>
  <c r="S15" i="2"/>
  <c r="R15" i="2"/>
  <c r="P15" i="2"/>
  <c r="N15" i="2"/>
  <c r="M15" i="2"/>
  <c r="K15" i="2"/>
  <c r="I15" i="2"/>
  <c r="G15" i="2"/>
  <c r="E15" i="2"/>
  <c r="E7" i="1" s="1"/>
  <c r="D15" i="2"/>
  <c r="E6" i="1" s="1"/>
  <c r="C15" i="2"/>
  <c r="B15" i="2"/>
  <c r="E9" i="1" l="1"/>
  <c r="E30" i="1"/>
  <c r="E35" i="1" s="1"/>
  <c r="E26" i="1" l="1"/>
  <c r="E27" i="1"/>
  <c r="E32" i="1"/>
  <c r="T12" i="2" l="1"/>
  <c r="T11" i="2"/>
  <c r="T10" i="2"/>
  <c r="T9" i="2"/>
  <c r="T8" i="2"/>
  <c r="T7" i="2"/>
  <c r="T6" i="2"/>
  <c r="T5" i="2"/>
  <c r="T4" i="2"/>
  <c r="T3" i="2"/>
  <c r="T2" i="2"/>
  <c r="Q9" i="2" l="1"/>
  <c r="O12" i="2"/>
  <c r="Q12" i="2"/>
  <c r="O11" i="2"/>
  <c r="Q11" i="2"/>
  <c r="H22" i="1" l="1"/>
  <c r="L15" i="2" l="1"/>
  <c r="J15" i="2"/>
  <c r="H15" i="2"/>
  <c r="O10" i="2" l="1"/>
  <c r="O9" i="2"/>
  <c r="O8" i="2"/>
  <c r="O7" i="2"/>
  <c r="O6" i="2"/>
  <c r="O5" i="2"/>
  <c r="O4" i="2"/>
  <c r="O3" i="2"/>
  <c r="O2" i="2"/>
  <c r="Q10" i="2"/>
  <c r="Q8" i="2"/>
  <c r="Q7" i="2"/>
  <c r="Q2" i="2"/>
  <c r="E16" i="1"/>
  <c r="E13" i="1"/>
  <c r="E12" i="1"/>
  <c r="E11" i="1"/>
  <c r="E14" i="1" l="1"/>
  <c r="E15" i="1" s="1"/>
  <c r="O15" i="2"/>
  <c r="E17" i="1" s="1"/>
  <c r="H9" i="1" l="1"/>
  <c r="Q3" i="2" l="1"/>
  <c r="Q4" i="2"/>
  <c r="Q5" i="2"/>
  <c r="Q6" i="2"/>
  <c r="H35" i="1"/>
  <c r="H32" i="1"/>
  <c r="H31" i="1"/>
  <c r="H30" i="1"/>
  <c r="H28" i="1"/>
  <c r="H26" i="1"/>
  <c r="H18" i="1"/>
  <c r="H17" i="1"/>
  <c r="H16" i="1"/>
  <c r="H15" i="1"/>
  <c r="H14" i="1"/>
  <c r="H13" i="1"/>
  <c r="H12" i="1"/>
  <c r="H11" i="1"/>
  <c r="H10" i="1"/>
  <c r="H8" i="1"/>
  <c r="H7" i="1"/>
  <c r="H6" i="1"/>
  <c r="Q15" i="2" l="1"/>
  <c r="H23" i="1"/>
  <c r="H19" i="1"/>
  <c r="H45" i="1" s="1"/>
  <c r="E33" i="1" l="1"/>
  <c r="H33" i="1" s="1"/>
  <c r="E34" i="1"/>
  <c r="H34" i="1" s="1"/>
  <c r="H36" i="1" l="1"/>
  <c r="H40" i="1" s="1"/>
  <c r="H44" i="1" l="1"/>
  <c r="H43" i="1"/>
  <c r="H42" i="1"/>
</calcChain>
</file>

<file path=xl/sharedStrings.xml><?xml version="1.0" encoding="utf-8"?>
<sst xmlns="http://schemas.openxmlformats.org/spreadsheetml/2006/main" count="136" uniqueCount="108">
  <si>
    <t>Category of Expense</t>
  </si>
  <si>
    <t>OSP Construction Units</t>
  </si>
  <si>
    <t>Unit Description</t>
  </si>
  <si>
    <t>Quanity</t>
  </si>
  <si>
    <t>Price</t>
  </si>
  <si>
    <t>Total</t>
  </si>
  <si>
    <t>OSP Materials</t>
  </si>
  <si>
    <t>To be placed by local Operations</t>
  </si>
  <si>
    <t>1 X 32 Splitter</t>
  </si>
  <si>
    <t>BFO24 (Material Cost)</t>
  </si>
  <si>
    <t>Buried Fiber Optic Cable, Non Gel filled, Armored</t>
  </si>
  <si>
    <t>BFO48 (Material Cost)</t>
  </si>
  <si>
    <t>BFO96 (Material Cost)</t>
  </si>
  <si>
    <t>BFO144 (Material Cost)</t>
  </si>
  <si>
    <t>Innerduct Material Cost</t>
  </si>
  <si>
    <t xml:space="preserve">1.25" SDR </t>
  </si>
  <si>
    <t>Contract Labor - Cable Construction Labor</t>
  </si>
  <si>
    <t>BFO24/48/96/144 (Construction Cost)</t>
  </si>
  <si>
    <t>Hand Hole (Material Costs)</t>
  </si>
  <si>
    <t>24X36X24 20K T-rated</t>
  </si>
  <si>
    <t>BDO4 (Material Cost)</t>
  </si>
  <si>
    <t>Buried Plant Fiber Optic Housing, Stake-Mounted</t>
  </si>
  <si>
    <t>BDO5 (Material Cost)</t>
  </si>
  <si>
    <t>Total OSP</t>
  </si>
  <si>
    <t>ISP Installation Units</t>
  </si>
  <si>
    <t>Equipment Description</t>
  </si>
  <si>
    <t>ISP Materials</t>
  </si>
  <si>
    <t>Total ISP</t>
  </si>
  <si>
    <t>Customer Premise Construction Units</t>
  </si>
  <si>
    <t>CPE materials</t>
  </si>
  <si>
    <t>GPON Outdoor ONT/Router</t>
  </si>
  <si>
    <t>ONT SDX 611 2ND GEN GPON SFU</t>
  </si>
  <si>
    <t>WiFi Gateway</t>
  </si>
  <si>
    <t>Outdoor Network Interface Housing</t>
  </si>
  <si>
    <t xml:space="preserve">Outdoor NID TA350 SFU NID ONT </t>
  </si>
  <si>
    <t>2 Fiber Drop (Material Cost)</t>
  </si>
  <si>
    <t>Contract Labor - Drop Placement</t>
  </si>
  <si>
    <t>Fiber Drop (Construction Cost)</t>
  </si>
  <si>
    <t>Place fiber drop, place NID and protective cane if needed</t>
  </si>
  <si>
    <t>Surge Protector</t>
  </si>
  <si>
    <t>Total CPE</t>
  </si>
  <si>
    <t>Total Capital FTTH Project Total</t>
  </si>
  <si>
    <t>Cost per Route Mile</t>
  </si>
  <si>
    <t>Total Infrastructure E-ACAM Estimate</t>
  </si>
  <si>
    <t>Splitter Serving Area</t>
  </si>
  <si>
    <t>Locations</t>
  </si>
  <si>
    <t>144 Splitter Cabinet</t>
  </si>
  <si>
    <t>288 Splitter Cabinet</t>
  </si>
  <si>
    <t>BFO 24 Const</t>
  </si>
  <si>
    <t>BFO 48 Const</t>
  </si>
  <si>
    <t>BFO 96 Const</t>
  </si>
  <si>
    <t>BFO 144 Const</t>
  </si>
  <si>
    <t>Buried Laterals</t>
  </si>
  <si>
    <t>Hand Holes</t>
  </si>
  <si>
    <t>BDO4S Pedestals</t>
  </si>
  <si>
    <t>Fiber Closures</t>
  </si>
  <si>
    <t>Drop Footage</t>
  </si>
  <si>
    <t>Railroad Permits</t>
  </si>
  <si>
    <t xml:space="preserve"> E-ACAM Cost Estimate</t>
  </si>
  <si>
    <t>Totals</t>
  </si>
  <si>
    <t>288 Cabinet Loaded w/132 SC/ACP</t>
  </si>
  <si>
    <t>FDH - Fieldsmart 144 Cabinet - Clearfield</t>
  </si>
  <si>
    <t>FDH - Fieldsmart 288Cabinet - Clearfield</t>
  </si>
  <si>
    <t>288 Cabinet Loaded w/276 SC/ACP</t>
  </si>
  <si>
    <t>Modular Splitter Cassette - Clearfield</t>
  </si>
  <si>
    <t>4x1x2 Splitter SC/ACP</t>
  </si>
  <si>
    <t>48-96 Splitter PED</t>
  </si>
  <si>
    <t>BD1</t>
  </si>
  <si>
    <t>23D1</t>
  </si>
  <si>
    <t>BD2</t>
  </si>
  <si>
    <t>BD3</t>
  </si>
  <si>
    <t>CLETE1</t>
  </si>
  <si>
    <t>CLETE2</t>
  </si>
  <si>
    <t>CREWS_N</t>
  </si>
  <si>
    <t>CREWS_S</t>
  </si>
  <si>
    <t>MUD1</t>
  </si>
  <si>
    <t>Buried Mainline Fiber/Pre-Designated (Bore) Minor materials for this unit include couplers.</t>
  </si>
  <si>
    <t>Zyxel 3927 Dual Band</t>
  </si>
  <si>
    <t>ADTRAN OLT CARD</t>
  </si>
  <si>
    <t>OLT CARDS,SFP</t>
  </si>
  <si>
    <t>National Forest Permits</t>
  </si>
  <si>
    <t>BFO 48 COIL</t>
  </si>
  <si>
    <t>BFO 96 COIL</t>
  </si>
  <si>
    <t>BFO 144 COIL</t>
  </si>
  <si>
    <t>EXT-BAXTER</t>
  </si>
  <si>
    <t>EXT-N RAULERSON</t>
  </si>
  <si>
    <t>EXT-ALTMANS WAY</t>
  </si>
  <si>
    <t>60% TAKE</t>
  </si>
  <si>
    <t>1X32</t>
  </si>
  <si>
    <t>DROPS</t>
  </si>
  <si>
    <t>EXT-CUYLER FIELD</t>
  </si>
  <si>
    <t>SCM-UPGRADE</t>
  </si>
  <si>
    <t>SM40-UPGRADE</t>
  </si>
  <si>
    <t>Average Cost/Passing Including Non-EACAM</t>
  </si>
  <si>
    <t>OLT</t>
  </si>
  <si>
    <t>NON-EACAM PASSING</t>
  </si>
  <si>
    <t>Average Cost/Passing EACAM ONLY</t>
  </si>
  <si>
    <t>Zyxel VMG4510</t>
  </si>
  <si>
    <t>17600070F1S</t>
  </si>
  <si>
    <t>SDG 8612 SmartOS Dual-band 4+4 WiFi-6, 1x 2.5GbE WAN, 1x 2.5GbE + 3x GbE LAN RG, PSU-NA, CC-US</t>
  </si>
  <si>
    <t xml:space="preserve">ADTRAN TA452 OUTDOOR ONT/SR 400 SERIES. </t>
  </si>
  <si>
    <t>17600071F1S</t>
  </si>
  <si>
    <t xml:space="preserve">SDG 8612 </t>
  </si>
  <si>
    <t xml:space="preserve">SDG 8614 </t>
  </si>
  <si>
    <t>SDG 8614 SmartOS Dual-band 4+4 WiFi-6, 1x SFP+ (2.5Gbps) WAN, 1x 2.5GbE + 3x GbE LAN RG, PSU-NA, CC-US</t>
  </si>
  <si>
    <t>Part Number</t>
  </si>
  <si>
    <t>120243D01</t>
  </si>
  <si>
    <t>Lead Times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</si>
</sst>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&quot;$&quot;* #,##0_);_(&quot;$&quot;* \(#,##0\);_(&quot;$&quot;* &quot;-&quot;??_);_(@_)"/>
    <numFmt numFmtId="165" formatCode="_(* #,##0_);_(* \(#,##0\);_(* &quot;-&quot;??_);_(@_)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color theme="0"/>
      <name val="Arial Black"/>
      <family val="2"/>
    </font>
    <font>
      <b/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1A1A1A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hair">
        <color theme="8"/>
      </left>
      <right style="hair">
        <color theme="8"/>
      </right>
      <top style="hair">
        <color theme="8"/>
      </top>
      <bottom style="hair">
        <color theme="8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81">
    <xf numFmtId="0" fontId="0" fillId="0" borderId="0" xfId="0"/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44" fontId="0" fillId="0" borderId="0" xfId="1" applyFont="1" applyAlignment="1">
      <alignment horizontal="right"/>
    </xf>
    <xf numFmtId="164" fontId="0" fillId="0" borderId="0" xfId="1" applyNumberFormat="1" applyFont="1" applyAlignment="1">
      <alignment horizontal="right"/>
    </xf>
    <xf numFmtId="0" fontId="2" fillId="0" borderId="0" xfId="0" applyFont="1" applyAlignment="1">
      <alignment horizontal="center" vertical="center" wrapText="1"/>
    </xf>
    <xf numFmtId="44" fontId="2" fillId="0" borderId="0" xfId="1" applyFont="1" applyAlignment="1">
      <alignment horizontal="center" vertical="center" wrapText="1"/>
    </xf>
    <xf numFmtId="164" fontId="2" fillId="0" borderId="0" xfId="1" applyNumberFormat="1" applyFont="1" applyAlignment="1">
      <alignment horizontal="center" vertical="center" wrapText="1"/>
    </xf>
    <xf numFmtId="0" fontId="0" fillId="3" borderId="1" xfId="0" applyFill="1" applyBorder="1" applyAlignment="1">
      <alignment vertical="center"/>
    </xf>
    <xf numFmtId="0" fontId="0" fillId="3" borderId="1" xfId="0" applyFill="1" applyBorder="1" applyAlignment="1">
      <alignment wrapText="1"/>
    </xf>
    <xf numFmtId="44" fontId="0" fillId="3" borderId="1" xfId="1" applyFont="1" applyFill="1" applyBorder="1" applyAlignment="1">
      <alignment horizontal="right"/>
    </xf>
    <xf numFmtId="164" fontId="0" fillId="3" borderId="1" xfId="1" applyNumberFormat="1" applyFont="1" applyFill="1" applyBorder="1" applyAlignment="1">
      <alignment horizontal="right"/>
    </xf>
    <xf numFmtId="3" fontId="0" fillId="3" borderId="1" xfId="0" applyNumberFormat="1" applyFill="1" applyBorder="1" applyAlignment="1">
      <alignment horizontal="center"/>
    </xf>
    <xf numFmtId="0" fontId="0" fillId="3" borderId="0" xfId="0" applyFill="1" applyAlignment="1">
      <alignment vertical="center"/>
    </xf>
    <xf numFmtId="0" fontId="2" fillId="3" borderId="0" xfId="0" applyFont="1" applyFill="1" applyAlignment="1">
      <alignment horizontal="left"/>
    </xf>
    <xf numFmtId="164" fontId="2" fillId="3" borderId="0" xfId="1" applyNumberFormat="1" applyFont="1" applyFill="1" applyBorder="1" applyAlignment="1">
      <alignment horizontal="right"/>
    </xf>
    <xf numFmtId="0" fontId="2" fillId="3" borderId="0" xfId="0" applyFont="1" applyFill="1" applyAlignment="1">
      <alignment vertical="center"/>
    </xf>
    <xf numFmtId="44" fontId="0" fillId="3" borderId="0" xfId="1" applyFont="1" applyFill="1" applyBorder="1" applyAlignment="1">
      <alignment horizontal="right"/>
    </xf>
    <xf numFmtId="0" fontId="4" fillId="3" borderId="0" xfId="0" applyFont="1" applyFill="1" applyAlignment="1">
      <alignment vertical="center" wrapText="1"/>
    </xf>
    <xf numFmtId="0" fontId="4" fillId="3" borderId="0" xfId="0" applyFont="1" applyFill="1" applyAlignment="1">
      <alignment horizontal="center" vertical="center" wrapText="1"/>
    </xf>
    <xf numFmtId="44" fontId="0" fillId="3" borderId="0" xfId="1" applyFont="1" applyFill="1" applyAlignment="1">
      <alignment horizontal="right"/>
    </xf>
    <xf numFmtId="164" fontId="0" fillId="3" borderId="0" xfId="1" applyNumberFormat="1" applyFont="1" applyFill="1" applyAlignment="1">
      <alignment horizontal="right"/>
    </xf>
    <xf numFmtId="0" fontId="0" fillId="3" borderId="1" xfId="0" applyFill="1" applyBorder="1" applyAlignment="1">
      <alignment vertical="center" wrapText="1"/>
    </xf>
    <xf numFmtId="44" fontId="2" fillId="3" borderId="0" xfId="1" applyFont="1" applyFill="1" applyBorder="1" applyAlignment="1">
      <alignment horizontal="left"/>
    </xf>
    <xf numFmtId="0" fontId="0" fillId="0" borderId="1" xfId="0" applyBorder="1"/>
    <xf numFmtId="44" fontId="5" fillId="3" borderId="1" xfId="1" applyFont="1" applyFill="1" applyBorder="1" applyAlignment="1">
      <alignment horizontal="right" vertical="center" wrapText="1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/>
    </xf>
    <xf numFmtId="44" fontId="0" fillId="0" borderId="1" xfId="1" applyFont="1" applyBorder="1" applyAlignment="1">
      <alignment horizontal="right"/>
    </xf>
    <xf numFmtId="164" fontId="0" fillId="0" borderId="1" xfId="1" applyNumberFormat="1" applyFont="1" applyBorder="1" applyAlignment="1">
      <alignment horizontal="right"/>
    </xf>
    <xf numFmtId="0" fontId="0" fillId="0" borderId="0" xfId="0" applyAlignment="1">
      <alignment vertical="center"/>
    </xf>
    <xf numFmtId="44" fontId="2" fillId="0" borderId="0" xfId="1" applyFont="1" applyBorder="1" applyAlignment="1">
      <alignment horizontal="left"/>
    </xf>
    <xf numFmtId="164" fontId="2" fillId="0" borderId="0" xfId="1" applyNumberFormat="1" applyFont="1" applyBorder="1" applyAlignment="1">
      <alignment horizontal="right"/>
    </xf>
    <xf numFmtId="3" fontId="0" fillId="0" borderId="1" xfId="0" applyNumberFormat="1" applyBorder="1" applyAlignment="1">
      <alignment horizont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horizontal="center"/>
    </xf>
    <xf numFmtId="44" fontId="2" fillId="0" borderId="0" xfId="1" applyFont="1" applyAlignment="1">
      <alignment horizontal="right"/>
    </xf>
    <xf numFmtId="164" fontId="4" fillId="0" borderId="0" xfId="1" applyNumberFormat="1" applyFont="1" applyAlignment="1">
      <alignment horizontal="right"/>
    </xf>
    <xf numFmtId="0" fontId="4" fillId="0" borderId="2" xfId="0" applyFont="1" applyBorder="1"/>
    <xf numFmtId="0" fontId="4" fillId="0" borderId="2" xfId="0" applyFont="1" applyBorder="1" applyAlignment="1">
      <alignment horizontal="center"/>
    </xf>
    <xf numFmtId="44" fontId="4" fillId="0" borderId="2" xfId="1" applyFont="1" applyBorder="1" applyAlignment="1">
      <alignment horizontal="right"/>
    </xf>
    <xf numFmtId="164" fontId="4" fillId="0" borderId="2" xfId="1" applyNumberFormat="1" applyFont="1" applyBorder="1" applyAlignment="1">
      <alignment horizontal="right"/>
    </xf>
    <xf numFmtId="0" fontId="2" fillId="0" borderId="0" xfId="0" applyFont="1"/>
    <xf numFmtId="44" fontId="2" fillId="0" borderId="0" xfId="0" applyNumberFormat="1" applyFont="1"/>
    <xf numFmtId="164" fontId="2" fillId="0" borderId="0" xfId="1" applyNumberFormat="1" applyFont="1"/>
    <xf numFmtId="0" fontId="4" fillId="0" borderId="0" xfId="0" applyFont="1"/>
    <xf numFmtId="41" fontId="0" fillId="0" borderId="0" xfId="0" applyNumberFormat="1"/>
    <xf numFmtId="1" fontId="0" fillId="4" borderId="1" xfId="0" applyNumberFormat="1" applyFill="1" applyBorder="1"/>
    <xf numFmtId="0" fontId="0" fillId="4" borderId="1" xfId="0" applyFill="1" applyBorder="1" applyAlignment="1">
      <alignment horizontal="center" vertical="center"/>
    </xf>
    <xf numFmtId="165" fontId="0" fillId="4" borderId="1" xfId="2" applyNumberFormat="1" applyFont="1" applyFill="1" applyBorder="1" applyAlignment="1">
      <alignment horizontal="center" vertical="center"/>
    </xf>
    <xf numFmtId="41" fontId="0" fillId="4" borderId="1" xfId="0" applyNumberFormat="1" applyFill="1" applyBorder="1" applyAlignment="1">
      <alignment horizontal="center" vertical="center"/>
    </xf>
    <xf numFmtId="165" fontId="0" fillId="4" borderId="1" xfId="2" applyNumberFormat="1" applyFont="1" applyFill="1" applyBorder="1" applyAlignment="1">
      <alignment horizontal="center"/>
    </xf>
    <xf numFmtId="0" fontId="0" fillId="4" borderId="1" xfId="0" applyFill="1" applyBorder="1"/>
    <xf numFmtId="43" fontId="0" fillId="0" borderId="0" xfId="0" applyNumberFormat="1"/>
    <xf numFmtId="9" fontId="0" fillId="0" borderId="1" xfId="0" applyNumberFormat="1" applyBorder="1"/>
    <xf numFmtId="0" fontId="0" fillId="5" borderId="1" xfId="0" applyFill="1" applyBorder="1"/>
    <xf numFmtId="0" fontId="0" fillId="6" borderId="1" xfId="0" applyFill="1" applyBorder="1"/>
    <xf numFmtId="3" fontId="0" fillId="4" borderId="1" xfId="0" applyNumberFormat="1" applyFill="1" applyBorder="1" applyAlignment="1">
      <alignment horizontal="center"/>
    </xf>
    <xf numFmtId="37" fontId="0" fillId="4" borderId="1" xfId="0" applyNumberFormat="1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1" fontId="2" fillId="0" borderId="0" xfId="0" applyNumberFormat="1" applyFont="1" applyAlignment="1">
      <alignment horizontal="center" vertical="center" wrapText="1"/>
    </xf>
    <xf numFmtId="1" fontId="0" fillId="4" borderId="1" xfId="0" applyNumberFormat="1" applyFill="1" applyBorder="1" applyAlignment="1">
      <alignment horizontal="center"/>
    </xf>
    <xf numFmtId="165" fontId="0" fillId="4" borderId="1" xfId="0" applyNumberFormat="1" applyFill="1" applyBorder="1"/>
    <xf numFmtId="37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37" fontId="0" fillId="0" borderId="1" xfId="0" applyNumberFormat="1" applyBorder="1" applyAlignment="1">
      <alignment horizontal="center"/>
    </xf>
    <xf numFmtId="49" fontId="9" fillId="3" borderId="3" xfId="0" applyNumberFormat="1" applyFont="1" applyFill="1" applyBorder="1" applyAlignment="1">
      <alignment wrapText="1"/>
    </xf>
    <xf numFmtId="49" fontId="9" fillId="3" borderId="1" xfId="0" applyNumberFormat="1" applyFont="1" applyFill="1" applyBorder="1" applyAlignment="1">
      <alignment wrapText="1"/>
    </xf>
    <xf numFmtId="0" fontId="0" fillId="0" borderId="0" xfId="0" applyAlignment="1">
      <alignment horizontal="left" wrapText="1"/>
    </xf>
    <xf numFmtId="0" fontId="0" fillId="3" borderId="1" xfId="0" applyFill="1" applyBorder="1" applyAlignment="1">
      <alignment horizontal="left" wrapText="1"/>
    </xf>
    <xf numFmtId="0" fontId="0" fillId="3" borderId="0" xfId="0" applyFill="1" applyAlignment="1">
      <alignment horizontal="left" wrapText="1"/>
    </xf>
    <xf numFmtId="0" fontId="0" fillId="0" borderId="1" xfId="0" applyBorder="1" applyAlignment="1">
      <alignment wrapText="1"/>
    </xf>
    <xf numFmtId="0" fontId="6" fillId="0" borderId="1" xfId="0" applyFont="1" applyBorder="1" applyAlignment="1">
      <alignment wrapText="1"/>
    </xf>
    <xf numFmtId="0" fontId="0" fillId="0" borderId="0" xfId="0" applyAlignment="1">
      <alignment wrapText="1"/>
    </xf>
    <xf numFmtId="0" fontId="7" fillId="3" borderId="1" xfId="0" applyFont="1" applyFill="1" applyBorder="1" applyAlignment="1">
      <alignment wrapText="1"/>
    </xf>
    <xf numFmtId="0" fontId="0" fillId="0" borderId="1" xfId="0" applyBorder="1" applyAlignment="1">
      <alignment horizontal="left" wrapText="1"/>
    </xf>
    <xf numFmtId="0" fontId="2" fillId="0" borderId="0" xfId="0" applyFont="1" applyAlignment="1">
      <alignment horizontal="left" wrapText="1"/>
    </xf>
    <xf numFmtId="0" fontId="4" fillId="0" borderId="2" xfId="0" applyFont="1" applyBorder="1" applyAlignment="1">
      <alignment horizontal="left" wrapText="1"/>
    </xf>
    <xf numFmtId="0" fontId="3" fillId="2" borderId="0" xfId="0" applyFont="1" applyFill="1" applyAlignment="1">
      <alignment horizontal="center" vertical="center" wrapText="1"/>
    </xf>
  </cellXfs>
  <cellStyles count="3">
    <cellStyle name="Comma" xfId="2" builtinId="3"/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FC496A-E0A4-4463-9A3D-6BB7E48F1049}">
  <dimension ref="A1:Q67"/>
  <sheetViews>
    <sheetView tabSelected="1" workbookViewId="0">
      <selection activeCell="B36" sqref="B36"/>
    </sheetView>
  </sheetViews>
  <sheetFormatPr defaultRowHeight="14.5" x14ac:dyDescent="0.35"/>
  <cols>
    <col min="1" max="1" width="41" bestFit="1" customWidth="1"/>
    <col min="2" max="2" width="43" customWidth="1"/>
    <col min="3" max="3" width="12.08984375" bestFit="1" customWidth="1"/>
    <col min="4" max="4" width="46.81640625" style="75" customWidth="1"/>
    <col min="5" max="8" width="14.81640625" customWidth="1"/>
    <col min="9" max="9" width="1.26953125" customWidth="1"/>
    <col min="10" max="10" width="8.81640625" hidden="1" customWidth="1"/>
    <col min="11" max="11" width="5.7265625" hidden="1" customWidth="1"/>
    <col min="12" max="13" width="8.81640625" hidden="1" customWidth="1"/>
    <col min="14" max="14" width="1.81640625" hidden="1" customWidth="1"/>
    <col min="15" max="15" width="8.81640625" hidden="1" customWidth="1"/>
    <col min="17" max="17" width="16.26953125" customWidth="1"/>
  </cols>
  <sheetData>
    <row r="1" spans="1:15" ht="55.5" customHeight="1" x14ac:dyDescent="0.35">
      <c r="A1" s="80" t="s">
        <v>58</v>
      </c>
      <c r="B1" s="80"/>
      <c r="C1" s="80"/>
      <c r="D1" s="80"/>
      <c r="E1" s="80"/>
      <c r="F1" s="80"/>
      <c r="G1" s="80"/>
      <c r="H1" s="80"/>
      <c r="I1" s="80"/>
      <c r="J1" s="80"/>
      <c r="K1" s="80"/>
      <c r="L1" s="80"/>
      <c r="M1" s="80"/>
      <c r="N1" s="80"/>
      <c r="O1" s="80"/>
    </row>
    <row r="2" spans="1:15" ht="15.75" customHeight="1" x14ac:dyDescent="0.35">
      <c r="A2" s="80"/>
      <c r="B2" s="80"/>
      <c r="C2" s="80"/>
      <c r="D2" s="80"/>
      <c r="E2" s="80"/>
      <c r="F2" s="80"/>
      <c r="G2" s="80"/>
      <c r="H2" s="80"/>
      <c r="I2" s="80"/>
      <c r="J2" s="80"/>
      <c r="K2" s="80"/>
      <c r="L2" s="80"/>
      <c r="M2" s="80"/>
      <c r="N2" s="80"/>
      <c r="O2" s="80"/>
    </row>
    <row r="4" spans="1:15" ht="45.65" customHeight="1" x14ac:dyDescent="0.35">
      <c r="A4" s="1"/>
      <c r="B4" s="2"/>
      <c r="C4" s="2"/>
      <c r="D4" s="70"/>
      <c r="E4" s="3"/>
      <c r="F4" s="3"/>
      <c r="G4" s="4"/>
      <c r="H4" s="5"/>
    </row>
    <row r="5" spans="1:15" ht="31.9" customHeight="1" x14ac:dyDescent="0.35">
      <c r="A5" s="6" t="s">
        <v>0</v>
      </c>
      <c r="B5" s="6" t="s">
        <v>1</v>
      </c>
      <c r="C5" s="6" t="s">
        <v>105</v>
      </c>
      <c r="D5" s="6" t="s">
        <v>2</v>
      </c>
      <c r="E5" s="6" t="s">
        <v>3</v>
      </c>
      <c r="F5" s="7" t="s">
        <v>107</v>
      </c>
      <c r="G5" s="7" t="s">
        <v>4</v>
      </c>
      <c r="H5" s="8" t="s">
        <v>5</v>
      </c>
    </row>
    <row r="6" spans="1:15" x14ac:dyDescent="0.35">
      <c r="A6" s="9" t="s">
        <v>6</v>
      </c>
      <c r="B6" s="9" t="s">
        <v>61</v>
      </c>
      <c r="C6" s="9"/>
      <c r="D6" s="10" t="s">
        <v>60</v>
      </c>
      <c r="E6" s="60">
        <f>'Serving Areas'!D15</f>
        <v>4</v>
      </c>
      <c r="F6" s="60"/>
      <c r="G6" s="11"/>
      <c r="H6" s="12">
        <f>G6*E6</f>
        <v>0</v>
      </c>
    </row>
    <row r="7" spans="1:15" x14ac:dyDescent="0.35">
      <c r="A7" s="9" t="s">
        <v>6</v>
      </c>
      <c r="B7" s="9" t="s">
        <v>62</v>
      </c>
      <c r="C7" s="9"/>
      <c r="D7" s="10" t="s">
        <v>63</v>
      </c>
      <c r="E7" s="60">
        <f>'Serving Areas'!E15</f>
        <v>5</v>
      </c>
      <c r="F7" s="60"/>
      <c r="G7" s="11"/>
      <c r="H7" s="12">
        <f>G7*E7</f>
        <v>0</v>
      </c>
    </row>
    <row r="8" spans="1:15" ht="15.65" customHeight="1" x14ac:dyDescent="0.35">
      <c r="A8" s="9" t="s">
        <v>6</v>
      </c>
      <c r="B8" s="9" t="s">
        <v>8</v>
      </c>
      <c r="C8" s="9"/>
      <c r="D8" s="71" t="s">
        <v>7</v>
      </c>
      <c r="E8" s="60">
        <f>'Serving Areas'!Y15</f>
        <v>60</v>
      </c>
      <c r="F8" s="60"/>
      <c r="G8" s="11"/>
      <c r="H8" s="12">
        <f>G8*E8</f>
        <v>0</v>
      </c>
    </row>
    <row r="9" spans="1:15" ht="15.65" customHeight="1" x14ac:dyDescent="0.35">
      <c r="A9" s="9" t="s">
        <v>6</v>
      </c>
      <c r="B9" s="9" t="s">
        <v>64</v>
      </c>
      <c r="C9" s="9"/>
      <c r="D9" s="71" t="s">
        <v>65</v>
      </c>
      <c r="E9" s="60">
        <f>SUM(E6:E7)</f>
        <v>9</v>
      </c>
      <c r="F9" s="60"/>
      <c r="G9" s="11"/>
      <c r="H9" s="12">
        <f>G9*E9</f>
        <v>0</v>
      </c>
    </row>
    <row r="10" spans="1:15" ht="15" customHeight="1" x14ac:dyDescent="0.35">
      <c r="A10" s="9" t="s">
        <v>6</v>
      </c>
      <c r="B10" s="9" t="s">
        <v>9</v>
      </c>
      <c r="C10" s="9" t="s">
        <v>106</v>
      </c>
      <c r="D10" s="10" t="s">
        <v>10</v>
      </c>
      <c r="E10" s="13">
        <v>25000</v>
      </c>
      <c r="F10" s="13"/>
      <c r="G10" s="11"/>
      <c r="H10" s="12">
        <f>G10*E10</f>
        <v>0</v>
      </c>
    </row>
    <row r="11" spans="1:15" ht="15" customHeight="1" x14ac:dyDescent="0.35">
      <c r="A11" s="9" t="s">
        <v>6</v>
      </c>
      <c r="B11" s="9" t="s">
        <v>11</v>
      </c>
      <c r="C11" s="9" t="s">
        <v>106</v>
      </c>
      <c r="D11" s="10" t="s">
        <v>10</v>
      </c>
      <c r="E11" s="34">
        <f>SUM('Serving Areas'!G15:H15)</f>
        <v>252674.82500000001</v>
      </c>
      <c r="F11" s="34"/>
      <c r="G11" s="11"/>
      <c r="H11" s="12">
        <f>G11*E11</f>
        <v>0</v>
      </c>
    </row>
    <row r="12" spans="1:15" ht="15" customHeight="1" x14ac:dyDescent="0.35">
      <c r="A12" s="9" t="s">
        <v>6</v>
      </c>
      <c r="B12" s="9" t="s">
        <v>12</v>
      </c>
      <c r="C12" s="9"/>
      <c r="D12" s="10" t="s">
        <v>10</v>
      </c>
      <c r="E12" s="34">
        <f>SUM('Serving Areas'!I15:J15)</f>
        <v>32087.8</v>
      </c>
      <c r="F12" s="34"/>
      <c r="G12" s="11"/>
      <c r="H12" s="12">
        <f>G12*E12</f>
        <v>0</v>
      </c>
    </row>
    <row r="13" spans="1:15" ht="15" customHeight="1" x14ac:dyDescent="0.35">
      <c r="A13" s="9" t="s">
        <v>6</v>
      </c>
      <c r="B13" s="9" t="s">
        <v>13</v>
      </c>
      <c r="C13" s="9"/>
      <c r="D13" s="10" t="s">
        <v>10</v>
      </c>
      <c r="E13" s="34">
        <f>SUM('Serving Areas'!K15:L15)</f>
        <v>40412.699999999997</v>
      </c>
      <c r="F13" s="34"/>
      <c r="G13" s="11"/>
      <c r="H13" s="12">
        <f>G13*E13</f>
        <v>0</v>
      </c>
    </row>
    <row r="14" spans="1:15" ht="15" customHeight="1" x14ac:dyDescent="0.35">
      <c r="A14" s="9" t="s">
        <v>6</v>
      </c>
      <c r="B14" s="9" t="s">
        <v>14</v>
      </c>
      <c r="C14" s="9"/>
      <c r="D14" s="71" t="s">
        <v>15</v>
      </c>
      <c r="E14" s="34">
        <f>SUM(E11:E13)*0.25</f>
        <v>81293.831250000003</v>
      </c>
      <c r="F14" s="34"/>
      <c r="G14" s="11"/>
      <c r="H14" s="12">
        <f>G14*E14</f>
        <v>0</v>
      </c>
    </row>
    <row r="15" spans="1:15" ht="29" x14ac:dyDescent="0.35">
      <c r="A15" s="9" t="s">
        <v>16</v>
      </c>
      <c r="B15" s="9" t="s">
        <v>17</v>
      </c>
      <c r="C15" s="9"/>
      <c r="D15" s="10" t="s">
        <v>76</v>
      </c>
      <c r="E15" s="34">
        <f>E14</f>
        <v>81293.831250000003</v>
      </c>
      <c r="F15" s="34"/>
      <c r="G15" s="11"/>
      <c r="H15" s="12">
        <f>G15*E15</f>
        <v>0</v>
      </c>
    </row>
    <row r="16" spans="1:15" ht="16.149999999999999" customHeight="1" x14ac:dyDescent="0.35">
      <c r="A16" s="9" t="s">
        <v>6</v>
      </c>
      <c r="B16" s="9" t="s">
        <v>18</v>
      </c>
      <c r="C16" s="9"/>
      <c r="D16" s="71" t="s">
        <v>19</v>
      </c>
      <c r="E16" s="34">
        <f>'Serving Areas'!N15</f>
        <v>17</v>
      </c>
      <c r="F16" s="34"/>
      <c r="G16" s="11"/>
      <c r="H16" s="12">
        <f>G16*E16</f>
        <v>0</v>
      </c>
    </row>
    <row r="17" spans="1:8" ht="15.65" customHeight="1" x14ac:dyDescent="0.35">
      <c r="A17" s="9" t="s">
        <v>6</v>
      </c>
      <c r="B17" s="9" t="s">
        <v>20</v>
      </c>
      <c r="C17" s="9"/>
      <c r="D17" s="10" t="s">
        <v>21</v>
      </c>
      <c r="E17" s="34">
        <f>'Serving Areas'!O15</f>
        <v>773.94412499999999</v>
      </c>
      <c r="F17" s="34"/>
      <c r="G17" s="11"/>
      <c r="H17" s="12">
        <f>G17*E17</f>
        <v>0</v>
      </c>
    </row>
    <row r="18" spans="1:8" ht="15.65" customHeight="1" x14ac:dyDescent="0.35">
      <c r="A18" s="9" t="s">
        <v>6</v>
      </c>
      <c r="B18" s="9" t="s">
        <v>22</v>
      </c>
      <c r="C18" s="9"/>
      <c r="D18" s="10" t="s">
        <v>21</v>
      </c>
      <c r="E18" s="28"/>
      <c r="F18" s="28"/>
      <c r="G18" s="11"/>
      <c r="H18" s="12">
        <f>G18*E18</f>
        <v>0</v>
      </c>
    </row>
    <row r="19" spans="1:8" x14ac:dyDescent="0.35">
      <c r="A19" s="14"/>
      <c r="B19" s="14"/>
      <c r="C19" s="14"/>
      <c r="D19" s="72"/>
      <c r="E19" s="3"/>
      <c r="F19" s="3"/>
      <c r="G19" s="15" t="s">
        <v>23</v>
      </c>
      <c r="H19" s="16">
        <f>SUM(H6:H18)</f>
        <v>0</v>
      </c>
    </row>
    <row r="20" spans="1:8" x14ac:dyDescent="0.35">
      <c r="A20" s="14"/>
      <c r="B20" s="17"/>
      <c r="C20" s="17"/>
      <c r="D20" s="72"/>
      <c r="E20" s="3"/>
      <c r="F20" s="3"/>
      <c r="G20" s="18"/>
      <c r="H20" s="16"/>
    </row>
    <row r="21" spans="1:8" ht="18.649999999999999" customHeight="1" x14ac:dyDescent="0.35">
      <c r="A21" s="14"/>
      <c r="B21" s="19" t="s">
        <v>24</v>
      </c>
      <c r="C21" s="19"/>
      <c r="D21" s="20" t="s">
        <v>25</v>
      </c>
      <c r="E21" s="3"/>
      <c r="F21" s="3"/>
      <c r="G21" s="21"/>
      <c r="H21" s="22"/>
    </row>
    <row r="22" spans="1:8" ht="15" customHeight="1" x14ac:dyDescent="0.35">
      <c r="A22" s="9" t="s">
        <v>26</v>
      </c>
      <c r="B22" s="23" t="s">
        <v>78</v>
      </c>
      <c r="C22" s="23"/>
      <c r="D22" s="23" t="s">
        <v>79</v>
      </c>
      <c r="E22" s="67">
        <f>'Serving Areas'!V15</f>
        <v>7</v>
      </c>
      <c r="F22" s="67"/>
      <c r="G22" s="11"/>
      <c r="H22" s="12">
        <f>G22*E22</f>
        <v>0</v>
      </c>
    </row>
    <row r="23" spans="1:8" x14ac:dyDescent="0.35">
      <c r="A23" s="14"/>
      <c r="B23" s="14"/>
      <c r="C23" s="14"/>
      <c r="D23" s="72"/>
      <c r="E23" s="3"/>
      <c r="F23" s="3"/>
      <c r="G23" s="24" t="s">
        <v>27</v>
      </c>
      <c r="H23" s="16">
        <f>SUM(H22:H22)</f>
        <v>0</v>
      </c>
    </row>
    <row r="24" spans="1:8" x14ac:dyDescent="0.35">
      <c r="A24" s="14"/>
      <c r="B24" s="14"/>
      <c r="C24" s="14"/>
      <c r="D24" s="72"/>
      <c r="E24" s="3"/>
      <c r="F24" s="3"/>
      <c r="G24" s="21"/>
      <c r="H24" s="22"/>
    </row>
    <row r="25" spans="1:8" ht="21" customHeight="1" x14ac:dyDescent="0.35">
      <c r="A25" s="14"/>
      <c r="B25" s="19" t="s">
        <v>28</v>
      </c>
      <c r="C25" s="19"/>
      <c r="D25" s="20" t="s">
        <v>2</v>
      </c>
      <c r="E25" s="3"/>
      <c r="F25" s="3"/>
      <c r="G25" s="21"/>
      <c r="H25" s="22"/>
    </row>
    <row r="26" spans="1:8" x14ac:dyDescent="0.35">
      <c r="A26" s="9" t="s">
        <v>29</v>
      </c>
      <c r="B26" s="9" t="s">
        <v>30</v>
      </c>
      <c r="C26" s="69" t="s">
        <v>98</v>
      </c>
      <c r="D26" s="73" t="s">
        <v>100</v>
      </c>
      <c r="E26" s="67">
        <f>E30*0.5</f>
        <v>273.59999999999997</v>
      </c>
      <c r="F26" s="67"/>
      <c r="G26" s="26"/>
      <c r="H26" s="12">
        <f>G26*E26</f>
        <v>0</v>
      </c>
    </row>
    <row r="27" spans="1:8" x14ac:dyDescent="0.35">
      <c r="A27" s="9" t="s">
        <v>29</v>
      </c>
      <c r="B27" s="9" t="s">
        <v>30</v>
      </c>
      <c r="C27" s="9"/>
      <c r="D27" s="74" t="s">
        <v>31</v>
      </c>
      <c r="E27" s="67">
        <f>E30*0.5</f>
        <v>273.59999999999997</v>
      </c>
      <c r="F27" s="67"/>
      <c r="G27" s="26"/>
      <c r="H27" s="12"/>
    </row>
    <row r="28" spans="1:8" ht="29" x14ac:dyDescent="0.35">
      <c r="A28" s="9" t="s">
        <v>29</v>
      </c>
      <c r="B28" s="9" t="s">
        <v>102</v>
      </c>
      <c r="C28" s="69" t="s">
        <v>101</v>
      </c>
      <c r="D28" s="73" t="s">
        <v>99</v>
      </c>
      <c r="E28" s="25">
        <v>250</v>
      </c>
      <c r="F28" s="25"/>
      <c r="G28" s="11"/>
      <c r="H28" s="12">
        <f>G28*E27</f>
        <v>0</v>
      </c>
    </row>
    <row r="29" spans="1:8" ht="43.5" x14ac:dyDescent="0.35">
      <c r="A29" s="9" t="s">
        <v>29</v>
      </c>
      <c r="B29" s="9" t="s">
        <v>103</v>
      </c>
      <c r="C29" s="68" t="s">
        <v>101</v>
      </c>
      <c r="D29" s="73" t="s">
        <v>104</v>
      </c>
      <c r="E29" s="25">
        <v>250</v>
      </c>
      <c r="F29" s="25"/>
      <c r="G29" s="11"/>
      <c r="H29" s="12"/>
    </row>
    <row r="30" spans="1:8" x14ac:dyDescent="0.35">
      <c r="A30" s="9" t="s">
        <v>29</v>
      </c>
      <c r="B30" s="9" t="s">
        <v>32</v>
      </c>
      <c r="C30" s="9"/>
      <c r="D30" s="76" t="s">
        <v>77</v>
      </c>
      <c r="E30" s="67">
        <f>'Serving Areas'!B15*0.6</f>
        <v>547.19999999999993</v>
      </c>
      <c r="F30" s="67"/>
      <c r="G30" s="11"/>
      <c r="H30" s="12">
        <f>G30*E30</f>
        <v>0</v>
      </c>
    </row>
    <row r="31" spans="1:8" x14ac:dyDescent="0.35">
      <c r="A31" s="9" t="s">
        <v>29</v>
      </c>
      <c r="B31" s="9" t="s">
        <v>32</v>
      </c>
      <c r="C31" s="9"/>
      <c r="D31" s="76" t="s">
        <v>97</v>
      </c>
      <c r="E31" s="28">
        <v>1</v>
      </c>
      <c r="F31" s="28"/>
      <c r="G31" s="11"/>
      <c r="H31" s="12">
        <f>G31*E31</f>
        <v>0</v>
      </c>
    </row>
    <row r="32" spans="1:8" x14ac:dyDescent="0.35">
      <c r="A32" s="9" t="s">
        <v>29</v>
      </c>
      <c r="B32" s="9" t="s">
        <v>33</v>
      </c>
      <c r="C32" s="9"/>
      <c r="D32" s="76" t="s">
        <v>34</v>
      </c>
      <c r="E32" s="67">
        <f>E30</f>
        <v>547.19999999999993</v>
      </c>
      <c r="F32" s="67"/>
      <c r="G32" s="11"/>
      <c r="H32" s="12">
        <f>G32*E32</f>
        <v>0</v>
      </c>
    </row>
    <row r="33" spans="1:8" x14ac:dyDescent="0.35">
      <c r="A33" s="9" t="s">
        <v>6</v>
      </c>
      <c r="B33" s="9" t="s">
        <v>35</v>
      </c>
      <c r="C33" s="9"/>
      <c r="D33" s="71"/>
      <c r="E33" s="34">
        <f>'Serving Areas'!Q15</f>
        <v>191520</v>
      </c>
      <c r="F33" s="34"/>
      <c r="G33" s="11"/>
      <c r="H33" s="12">
        <f>G33*E33</f>
        <v>0</v>
      </c>
    </row>
    <row r="34" spans="1:8" ht="29" x14ac:dyDescent="0.35">
      <c r="A34" s="9" t="s">
        <v>36</v>
      </c>
      <c r="B34" s="9" t="s">
        <v>37</v>
      </c>
      <c r="C34" s="9"/>
      <c r="D34" s="71" t="s">
        <v>38</v>
      </c>
      <c r="E34" s="34">
        <f>'Serving Areas'!Q15</f>
        <v>191520</v>
      </c>
      <c r="F34" s="34"/>
      <c r="G34" s="11"/>
      <c r="H34" s="12">
        <f>G34*E34</f>
        <v>0</v>
      </c>
    </row>
    <row r="35" spans="1:8" x14ac:dyDescent="0.35">
      <c r="A35" s="27" t="s">
        <v>29</v>
      </c>
      <c r="B35" s="27" t="s">
        <v>39</v>
      </c>
      <c r="C35" s="27"/>
      <c r="D35" s="77"/>
      <c r="E35" s="67">
        <f>E30</f>
        <v>547.19999999999993</v>
      </c>
      <c r="F35" s="67"/>
      <c r="G35" s="29"/>
      <c r="H35" s="30">
        <f>G35*E35</f>
        <v>0</v>
      </c>
    </row>
    <row r="36" spans="1:8" x14ac:dyDescent="0.35">
      <c r="A36" s="31"/>
      <c r="B36" s="31"/>
      <c r="C36" s="31"/>
      <c r="D36" s="70"/>
      <c r="E36" s="3"/>
      <c r="F36" s="3"/>
      <c r="G36" s="32" t="s">
        <v>40</v>
      </c>
      <c r="H36" s="33">
        <f>SUM(H26:H35)</f>
        <v>0</v>
      </c>
    </row>
    <row r="37" spans="1:8" x14ac:dyDescent="0.35">
      <c r="A37" s="31"/>
      <c r="B37" s="31"/>
      <c r="C37" s="31"/>
      <c r="D37" s="70"/>
      <c r="E37" s="3"/>
      <c r="F37" s="3"/>
      <c r="G37" s="4"/>
      <c r="H37" s="5"/>
    </row>
    <row r="38" spans="1:8" x14ac:dyDescent="0.35">
      <c r="A38" s="31"/>
      <c r="B38" s="31"/>
      <c r="C38" s="31"/>
      <c r="D38" s="70"/>
      <c r="E38" s="3"/>
      <c r="F38" s="3"/>
      <c r="G38" s="4"/>
      <c r="H38" s="5"/>
    </row>
    <row r="39" spans="1:8" x14ac:dyDescent="0.35">
      <c r="A39" s="31"/>
      <c r="B39" s="31"/>
      <c r="C39" s="31"/>
      <c r="D39" s="70"/>
      <c r="E39" s="3"/>
      <c r="F39" s="3"/>
      <c r="G39" s="4"/>
      <c r="H39" s="5"/>
    </row>
    <row r="40" spans="1:8" ht="15.5" x14ac:dyDescent="0.35">
      <c r="A40" s="31"/>
      <c r="B40" s="35" t="s">
        <v>43</v>
      </c>
      <c r="C40" s="35"/>
      <c r="D40" s="78"/>
      <c r="E40" s="36"/>
      <c r="F40" s="36"/>
      <c r="G40" s="37"/>
      <c r="H40" s="38">
        <f>H36+H23+H19</f>
        <v>0</v>
      </c>
    </row>
    <row r="41" spans="1:8" x14ac:dyDescent="0.35">
      <c r="B41" s="2"/>
      <c r="C41" s="2"/>
      <c r="D41" s="70"/>
      <c r="E41" s="3"/>
      <c r="F41" s="3"/>
      <c r="G41" s="4"/>
      <c r="H41" s="5"/>
    </row>
    <row r="42" spans="1:8" ht="15.5" x14ac:dyDescent="0.35">
      <c r="A42" s="39" t="s">
        <v>41</v>
      </c>
      <c r="B42" s="39"/>
      <c r="C42" s="39"/>
      <c r="D42" s="79"/>
      <c r="E42" s="40"/>
      <c r="F42" s="40"/>
      <c r="G42" s="41"/>
      <c r="H42" s="42">
        <f>H40</f>
        <v>0</v>
      </c>
    </row>
    <row r="43" spans="1:8" x14ac:dyDescent="0.35">
      <c r="A43" s="43" t="s">
        <v>96</v>
      </c>
      <c r="B43" s="43"/>
      <c r="C43" s="43"/>
      <c r="H43" s="44">
        <f>H40/'Serving Areas'!B15</f>
        <v>0</v>
      </c>
    </row>
    <row r="44" spans="1:8" x14ac:dyDescent="0.35">
      <c r="A44" s="43" t="s">
        <v>93</v>
      </c>
      <c r="B44" s="43"/>
      <c r="C44" s="43"/>
      <c r="H44" s="44">
        <f>H40/SUM('Serving Areas'!B15,'Serving Areas'!Z15)</f>
        <v>0</v>
      </c>
    </row>
    <row r="45" spans="1:8" x14ac:dyDescent="0.35">
      <c r="A45" s="43" t="s">
        <v>42</v>
      </c>
      <c r="H45" s="44">
        <f>H19/(SUM(E11:E13)/5280)</f>
        <v>0</v>
      </c>
    </row>
    <row r="65" spans="1:3" ht="15.5" x14ac:dyDescent="0.35">
      <c r="A65" s="46"/>
      <c r="B65" s="45"/>
      <c r="C65" s="45"/>
    </row>
    <row r="66" spans="1:3" x14ac:dyDescent="0.35">
      <c r="A66" s="43"/>
      <c r="B66" s="45"/>
      <c r="C66" s="45"/>
    </row>
    <row r="67" spans="1:3" x14ac:dyDescent="0.35">
      <c r="B67" s="45"/>
      <c r="C67" s="45"/>
    </row>
  </sheetData>
  <mergeCells count="1">
    <mergeCell ref="A1:O2"/>
  </mergeCells>
  <dataValidations count="2">
    <dataValidation type="list" allowBlank="1" showInputMessage="1" showErrorMessage="1" sqref="A31" xr:uid="{1E53CE5F-4CF0-43E8-857E-4E8C9EB80734}">
      <formula1>$A$41:$A$53</formula1>
    </dataValidation>
    <dataValidation type="list" allowBlank="1" showInputMessage="1" showErrorMessage="1" sqref="A32:A35 A6:A18 A22 A26:A30" xr:uid="{C66A8EC1-54D2-4009-A450-31CD5D2F8893}">
      <formula1>$A$51:$A$62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DE8738-1AA9-4ADF-B6CD-C5ABA413524F}">
  <dimension ref="A1:Z25"/>
  <sheetViews>
    <sheetView workbookViewId="0">
      <pane ySplit="1" topLeftCell="A2" activePane="bottomLeft" state="frozen"/>
      <selection pane="bottomLeft" activeCell="O28" sqref="O28"/>
    </sheetView>
  </sheetViews>
  <sheetFormatPr defaultRowHeight="14.5" x14ac:dyDescent="0.35"/>
  <cols>
    <col min="1" max="1" width="30.81640625" bestFit="1" customWidth="1"/>
    <col min="2" max="2" width="12.26953125" customWidth="1"/>
    <col min="8" max="8" width="10.26953125" bestFit="1" customWidth="1"/>
    <col min="10" max="10" width="12.54296875" bestFit="1" customWidth="1"/>
    <col min="11" max="11" width="11.7265625" customWidth="1"/>
    <col min="12" max="12" width="15.26953125" customWidth="1"/>
    <col min="14" max="14" width="10.54296875" customWidth="1"/>
    <col min="15" max="15" width="11" bestFit="1" customWidth="1"/>
    <col min="16" max="16" width="9" bestFit="1" customWidth="1"/>
    <col min="17" max="17" width="12" bestFit="1" customWidth="1"/>
    <col min="18" max="18" width="9.453125" customWidth="1"/>
    <col min="19" max="19" width="13.81640625" customWidth="1"/>
    <col min="21" max="21" width="13.7265625" customWidth="1"/>
    <col min="22" max="22" width="14.453125" customWidth="1"/>
    <col min="23" max="23" width="12.26953125" customWidth="1"/>
    <col min="24" max="24" width="9.7265625" bestFit="1" customWidth="1"/>
  </cols>
  <sheetData>
    <row r="1" spans="1:26" ht="49.9" customHeight="1" x14ac:dyDescent="0.35">
      <c r="A1" s="6" t="s">
        <v>44</v>
      </c>
      <c r="B1" s="6" t="s">
        <v>45</v>
      </c>
      <c r="C1" s="6" t="s">
        <v>66</v>
      </c>
      <c r="D1" s="6" t="s">
        <v>46</v>
      </c>
      <c r="E1" s="6" t="s">
        <v>47</v>
      </c>
      <c r="F1" s="6" t="s">
        <v>48</v>
      </c>
      <c r="G1" s="6" t="s">
        <v>49</v>
      </c>
      <c r="H1" s="6" t="s">
        <v>81</v>
      </c>
      <c r="I1" s="6" t="s">
        <v>50</v>
      </c>
      <c r="J1" s="6" t="s">
        <v>82</v>
      </c>
      <c r="K1" s="6" t="s">
        <v>51</v>
      </c>
      <c r="L1" s="6" t="s">
        <v>83</v>
      </c>
      <c r="M1" s="6" t="s">
        <v>52</v>
      </c>
      <c r="N1" s="6" t="s">
        <v>53</v>
      </c>
      <c r="O1" s="6" t="s">
        <v>54</v>
      </c>
      <c r="P1" s="6" t="s">
        <v>55</v>
      </c>
      <c r="Q1" s="6" t="s">
        <v>56</v>
      </c>
      <c r="R1" s="6" t="s">
        <v>57</v>
      </c>
      <c r="S1" s="6" t="s">
        <v>80</v>
      </c>
      <c r="T1" s="6" t="s">
        <v>87</v>
      </c>
      <c r="U1" s="6" t="s">
        <v>89</v>
      </c>
      <c r="V1" s="6" t="s">
        <v>94</v>
      </c>
      <c r="W1" s="6" t="s">
        <v>91</v>
      </c>
      <c r="X1" s="6" t="s">
        <v>92</v>
      </c>
      <c r="Y1" s="6" t="s">
        <v>88</v>
      </c>
      <c r="Z1" s="61" t="s">
        <v>95</v>
      </c>
    </row>
    <row r="2" spans="1:26" ht="18.649999999999999" customHeight="1" x14ac:dyDescent="0.35">
      <c r="A2" s="48" t="s">
        <v>68</v>
      </c>
      <c r="B2" s="49">
        <v>37</v>
      </c>
      <c r="C2" s="49"/>
      <c r="D2" s="49"/>
      <c r="E2" s="49">
        <v>1</v>
      </c>
      <c r="F2" s="50"/>
      <c r="G2" s="50">
        <v>15657</v>
      </c>
      <c r="H2" s="50">
        <f t="shared" ref="H2:H7" si="0">(G2/400) *15</f>
        <v>587.13749999999993</v>
      </c>
      <c r="I2" s="50"/>
      <c r="J2" s="50">
        <f>(I2/400) *15</f>
        <v>0</v>
      </c>
      <c r="K2" s="50">
        <v>10369</v>
      </c>
      <c r="L2" s="50">
        <f>(K2/400) *15</f>
        <v>388.83749999999998</v>
      </c>
      <c r="M2" s="50"/>
      <c r="N2" s="49">
        <v>5</v>
      </c>
      <c r="O2" s="51">
        <f>SUM(G2:K2)/400</f>
        <v>66.532843749999998</v>
      </c>
      <c r="P2" s="49">
        <v>1</v>
      </c>
      <c r="Q2" s="52">
        <f>350*(B2*0.6)</f>
        <v>7770</v>
      </c>
      <c r="R2" s="53"/>
      <c r="S2" s="49"/>
      <c r="T2" s="49">
        <f>B2*0.6</f>
        <v>22.2</v>
      </c>
      <c r="U2" s="59">
        <v>22</v>
      </c>
      <c r="V2" s="62">
        <v>1</v>
      </c>
      <c r="W2" s="53"/>
      <c r="X2" s="53"/>
      <c r="Y2" s="58">
        <v>8</v>
      </c>
      <c r="Z2" s="58">
        <v>34</v>
      </c>
    </row>
    <row r="3" spans="1:26" ht="18.649999999999999" customHeight="1" x14ac:dyDescent="0.35">
      <c r="A3" s="48" t="s">
        <v>67</v>
      </c>
      <c r="B3" s="49">
        <v>198</v>
      </c>
      <c r="C3" s="49"/>
      <c r="D3" s="49"/>
      <c r="E3" s="49">
        <v>1</v>
      </c>
      <c r="F3" s="50"/>
      <c r="G3" s="50">
        <v>42883</v>
      </c>
      <c r="H3" s="50">
        <f t="shared" si="0"/>
        <v>1608.1125</v>
      </c>
      <c r="I3" s="50">
        <v>19272</v>
      </c>
      <c r="J3" s="50">
        <f t="shared" ref="J3:J14" si="1">(I3/400) *15</f>
        <v>722.7</v>
      </c>
      <c r="K3" s="50">
        <v>8258</v>
      </c>
      <c r="L3" s="50">
        <f t="shared" ref="L3:L14" si="2">(K3/400) *15</f>
        <v>309.67500000000001</v>
      </c>
      <c r="M3" s="50"/>
      <c r="N3" s="49">
        <v>1</v>
      </c>
      <c r="O3" s="51">
        <f t="shared" ref="O3:O13" si="3">SUM(G3:K3)/400</f>
        <v>181.85953125</v>
      </c>
      <c r="P3" s="49">
        <v>1</v>
      </c>
      <c r="Q3" s="52">
        <f t="shared" ref="Q3:Q14" si="4">350*(B3*0.6)</f>
        <v>41580</v>
      </c>
      <c r="R3" s="53"/>
      <c r="S3" s="49"/>
      <c r="T3" s="49">
        <f t="shared" ref="T3:T14" si="5">B3*0.6</f>
        <v>118.8</v>
      </c>
      <c r="U3" s="59">
        <v>464</v>
      </c>
      <c r="V3" s="62">
        <v>2</v>
      </c>
      <c r="W3" s="53"/>
      <c r="X3" s="53"/>
      <c r="Y3" s="58">
        <v>8</v>
      </c>
      <c r="Z3" s="58">
        <v>9</v>
      </c>
    </row>
    <row r="4" spans="1:26" ht="18.649999999999999" customHeight="1" x14ac:dyDescent="0.35">
      <c r="A4" s="48" t="s">
        <v>69</v>
      </c>
      <c r="B4" s="49">
        <v>118</v>
      </c>
      <c r="C4" s="49"/>
      <c r="D4" s="49">
        <v>1</v>
      </c>
      <c r="E4" s="49"/>
      <c r="F4" s="50"/>
      <c r="G4" s="50">
        <v>30449</v>
      </c>
      <c r="H4" s="50">
        <f t="shared" si="0"/>
        <v>1141.8375000000001</v>
      </c>
      <c r="I4" s="50"/>
      <c r="J4" s="50">
        <f t="shared" si="1"/>
        <v>0</v>
      </c>
      <c r="K4" s="50">
        <v>8120</v>
      </c>
      <c r="L4" s="50">
        <f t="shared" si="2"/>
        <v>304.5</v>
      </c>
      <c r="M4" s="50"/>
      <c r="N4" s="49">
        <v>3</v>
      </c>
      <c r="O4" s="51">
        <f t="shared" si="3"/>
        <v>99.277093750000006</v>
      </c>
      <c r="P4" s="49"/>
      <c r="Q4" s="52">
        <f t="shared" si="4"/>
        <v>24780</v>
      </c>
      <c r="R4" s="53"/>
      <c r="S4" s="49"/>
      <c r="T4" s="49">
        <f t="shared" si="5"/>
        <v>70.8</v>
      </c>
      <c r="U4" s="59"/>
      <c r="V4" s="62"/>
      <c r="W4" s="53"/>
      <c r="X4" s="53"/>
      <c r="Y4" s="58">
        <v>5</v>
      </c>
      <c r="Z4" s="58">
        <v>8</v>
      </c>
    </row>
    <row r="5" spans="1:26" ht="18.649999999999999" customHeight="1" x14ac:dyDescent="0.35">
      <c r="A5" s="48" t="s">
        <v>70</v>
      </c>
      <c r="B5" s="49">
        <v>11</v>
      </c>
      <c r="C5" s="49"/>
      <c r="D5" s="49"/>
      <c r="E5" s="49">
        <v>1</v>
      </c>
      <c r="F5" s="50"/>
      <c r="G5" s="50">
        <v>4172</v>
      </c>
      <c r="H5" s="50">
        <f t="shared" si="0"/>
        <v>156.44999999999999</v>
      </c>
      <c r="I5" s="50"/>
      <c r="J5" s="50">
        <f t="shared" si="1"/>
        <v>0</v>
      </c>
      <c r="K5" s="50">
        <v>12205</v>
      </c>
      <c r="L5" s="50">
        <f t="shared" si="2"/>
        <v>457.6875</v>
      </c>
      <c r="M5" s="50"/>
      <c r="N5" s="49">
        <v>1</v>
      </c>
      <c r="O5" s="51">
        <f t="shared" si="3"/>
        <v>41.333625000000005</v>
      </c>
      <c r="P5" s="49"/>
      <c r="Q5" s="52">
        <f t="shared" si="4"/>
        <v>2310</v>
      </c>
      <c r="R5" s="53"/>
      <c r="S5" s="49"/>
      <c r="T5" s="49">
        <f t="shared" si="5"/>
        <v>6.6</v>
      </c>
      <c r="U5" s="59">
        <v>8</v>
      </c>
      <c r="V5" s="62"/>
      <c r="W5" s="53"/>
      <c r="X5" s="53"/>
      <c r="Y5" s="58">
        <v>8</v>
      </c>
      <c r="Z5" s="58"/>
    </row>
    <row r="6" spans="1:26" ht="18.649999999999999" customHeight="1" x14ac:dyDescent="0.35">
      <c r="A6" s="48" t="s">
        <v>71</v>
      </c>
      <c r="B6" s="49">
        <v>45</v>
      </c>
      <c r="C6" s="49"/>
      <c r="D6" s="49">
        <v>1</v>
      </c>
      <c r="E6" s="49"/>
      <c r="F6" s="50"/>
      <c r="G6" s="50">
        <v>22800</v>
      </c>
      <c r="H6" s="50">
        <f t="shared" si="0"/>
        <v>855</v>
      </c>
      <c r="I6" s="50"/>
      <c r="J6" s="50">
        <f t="shared" si="1"/>
        <v>0</v>
      </c>
      <c r="K6" s="50"/>
      <c r="L6" s="50">
        <f t="shared" si="2"/>
        <v>0</v>
      </c>
      <c r="M6" s="50"/>
      <c r="N6" s="49">
        <v>1</v>
      </c>
      <c r="O6" s="51">
        <f t="shared" si="3"/>
        <v>59.137500000000003</v>
      </c>
      <c r="P6" s="49">
        <v>1</v>
      </c>
      <c r="Q6" s="52">
        <f t="shared" si="4"/>
        <v>9450</v>
      </c>
      <c r="R6" s="53"/>
      <c r="S6" s="49"/>
      <c r="T6" s="49">
        <f t="shared" si="5"/>
        <v>27</v>
      </c>
      <c r="U6" s="59"/>
      <c r="V6" s="62">
        <v>1</v>
      </c>
      <c r="W6" s="53"/>
      <c r="X6" s="53"/>
      <c r="Y6" s="58">
        <v>5</v>
      </c>
      <c r="Z6" s="58">
        <v>2</v>
      </c>
    </row>
    <row r="7" spans="1:26" ht="18.649999999999999" customHeight="1" x14ac:dyDescent="0.35">
      <c r="A7" s="48" t="s">
        <v>72</v>
      </c>
      <c r="B7" s="49">
        <v>37</v>
      </c>
      <c r="C7" s="49"/>
      <c r="D7" s="49">
        <v>1</v>
      </c>
      <c r="E7" s="49"/>
      <c r="F7" s="50"/>
      <c r="G7" s="50">
        <v>23046</v>
      </c>
      <c r="H7" s="50">
        <f t="shared" si="0"/>
        <v>864.22500000000002</v>
      </c>
      <c r="I7" s="50"/>
      <c r="J7" s="50">
        <f t="shared" si="1"/>
        <v>0</v>
      </c>
      <c r="K7" s="50"/>
      <c r="L7" s="50">
        <f t="shared" si="2"/>
        <v>0</v>
      </c>
      <c r="M7" s="50"/>
      <c r="N7" s="49">
        <v>3</v>
      </c>
      <c r="O7" s="51">
        <f t="shared" si="3"/>
        <v>59.775562499999999</v>
      </c>
      <c r="P7" s="49"/>
      <c r="Q7" s="52">
        <f t="shared" si="4"/>
        <v>7770</v>
      </c>
      <c r="R7" s="53"/>
      <c r="S7" s="49"/>
      <c r="T7" s="49">
        <f t="shared" si="5"/>
        <v>22.2</v>
      </c>
      <c r="U7" s="59"/>
      <c r="V7" s="62"/>
      <c r="W7" s="53"/>
      <c r="X7" s="53"/>
      <c r="Y7" s="58">
        <v>5</v>
      </c>
      <c r="Z7" s="58"/>
    </row>
    <row r="8" spans="1:26" ht="18.649999999999999" customHeight="1" x14ac:dyDescent="0.35">
      <c r="A8" s="48" t="s">
        <v>73</v>
      </c>
      <c r="B8" s="49">
        <v>145</v>
      </c>
      <c r="C8" s="49"/>
      <c r="D8" s="49"/>
      <c r="E8" s="49">
        <v>1</v>
      </c>
      <c r="F8" s="50"/>
      <c r="G8" s="50">
        <v>30021</v>
      </c>
      <c r="H8" s="50">
        <f t="shared" ref="H8:H14" si="6">(G8/400) *15</f>
        <v>1125.7874999999999</v>
      </c>
      <c r="I8" s="50">
        <v>3679</v>
      </c>
      <c r="J8" s="50">
        <f t="shared" si="1"/>
        <v>137.96250000000001</v>
      </c>
      <c r="K8" s="50"/>
      <c r="L8" s="50">
        <f t="shared" si="2"/>
        <v>0</v>
      </c>
      <c r="M8" s="50"/>
      <c r="N8" s="49">
        <v>1</v>
      </c>
      <c r="O8" s="51">
        <f t="shared" si="3"/>
        <v>87.409374999999997</v>
      </c>
      <c r="P8" s="49">
        <v>1</v>
      </c>
      <c r="Q8" s="52">
        <f t="shared" si="4"/>
        <v>30450</v>
      </c>
      <c r="R8" s="53"/>
      <c r="S8" s="49"/>
      <c r="T8" s="49">
        <f t="shared" si="5"/>
        <v>87</v>
      </c>
      <c r="U8" s="59"/>
      <c r="V8" s="62">
        <v>1</v>
      </c>
      <c r="W8" s="53"/>
      <c r="X8" s="53"/>
      <c r="Y8" s="58">
        <v>8</v>
      </c>
      <c r="Z8" s="58">
        <v>13</v>
      </c>
    </row>
    <row r="9" spans="1:26" ht="18.649999999999999" customHeight="1" x14ac:dyDescent="0.35">
      <c r="A9" s="48" t="s">
        <v>74</v>
      </c>
      <c r="B9" s="49">
        <v>154</v>
      </c>
      <c r="C9" s="49"/>
      <c r="D9" s="49"/>
      <c r="E9" s="49">
        <v>1</v>
      </c>
      <c r="F9" s="50"/>
      <c r="G9" s="50">
        <v>29247</v>
      </c>
      <c r="H9" s="50">
        <f t="shared" si="6"/>
        <v>1096.7625</v>
      </c>
      <c r="I9" s="50">
        <v>7977</v>
      </c>
      <c r="J9" s="50">
        <f t="shared" si="1"/>
        <v>299.13749999999999</v>
      </c>
      <c r="K9" s="50"/>
      <c r="L9" s="50">
        <f t="shared" si="2"/>
        <v>0</v>
      </c>
      <c r="M9" s="50"/>
      <c r="N9" s="49">
        <v>1</v>
      </c>
      <c r="O9" s="51">
        <f t="shared" si="3"/>
        <v>96.549749999999989</v>
      </c>
      <c r="P9" s="49">
        <v>1</v>
      </c>
      <c r="Q9" s="52">
        <f>350*(B9*0.6)</f>
        <v>32339.999999999996</v>
      </c>
      <c r="R9" s="53"/>
      <c r="S9" s="49"/>
      <c r="T9" s="49">
        <f t="shared" si="5"/>
        <v>92.399999999999991</v>
      </c>
      <c r="U9" s="59"/>
      <c r="V9" s="62">
        <v>1</v>
      </c>
      <c r="W9" s="63"/>
      <c r="X9" s="63"/>
      <c r="Y9" s="58">
        <v>8</v>
      </c>
      <c r="Z9" s="58">
        <v>9</v>
      </c>
    </row>
    <row r="10" spans="1:26" ht="18.649999999999999" customHeight="1" x14ac:dyDescent="0.35">
      <c r="A10" s="48" t="s">
        <v>75</v>
      </c>
      <c r="B10" s="49">
        <v>67</v>
      </c>
      <c r="C10" s="49"/>
      <c r="D10" s="49">
        <v>1</v>
      </c>
      <c r="E10" s="49"/>
      <c r="F10" s="50"/>
      <c r="G10" s="50">
        <v>17984</v>
      </c>
      <c r="H10" s="50">
        <f t="shared" si="6"/>
        <v>674.4</v>
      </c>
      <c r="I10" s="50"/>
      <c r="J10" s="50">
        <f t="shared" si="1"/>
        <v>0</v>
      </c>
      <c r="K10" s="50"/>
      <c r="L10" s="50">
        <f t="shared" si="2"/>
        <v>0</v>
      </c>
      <c r="M10" s="50"/>
      <c r="N10" s="49">
        <v>1</v>
      </c>
      <c r="O10" s="51">
        <f t="shared" si="3"/>
        <v>46.646000000000001</v>
      </c>
      <c r="P10" s="49">
        <v>1</v>
      </c>
      <c r="Q10" s="52">
        <f t="shared" si="4"/>
        <v>14069.999999999998</v>
      </c>
      <c r="R10" s="53"/>
      <c r="S10" s="49"/>
      <c r="T10" s="49">
        <f t="shared" si="5"/>
        <v>40.199999999999996</v>
      </c>
      <c r="U10" s="59">
        <v>40</v>
      </c>
      <c r="V10" s="62">
        <v>1</v>
      </c>
      <c r="W10" s="53"/>
      <c r="X10" s="53"/>
      <c r="Y10" s="58">
        <v>5</v>
      </c>
      <c r="Z10" s="58"/>
    </row>
    <row r="11" spans="1:26" ht="18.649999999999999" customHeight="1" x14ac:dyDescent="0.35">
      <c r="A11" s="48" t="s">
        <v>84</v>
      </c>
      <c r="B11" s="49">
        <v>10</v>
      </c>
      <c r="C11" s="49"/>
      <c r="D11" s="49"/>
      <c r="E11" s="49"/>
      <c r="F11" s="50"/>
      <c r="G11" s="50">
        <v>4942</v>
      </c>
      <c r="H11" s="50">
        <f t="shared" si="6"/>
        <v>185.32500000000002</v>
      </c>
      <c r="I11" s="50"/>
      <c r="J11" s="50">
        <f t="shared" si="1"/>
        <v>0</v>
      </c>
      <c r="K11" s="50"/>
      <c r="L11" s="50">
        <f t="shared" si="2"/>
        <v>0</v>
      </c>
      <c r="M11" s="50"/>
      <c r="N11" s="49"/>
      <c r="O11" s="51">
        <f t="shared" si="3"/>
        <v>12.818312499999999</v>
      </c>
      <c r="P11" s="49"/>
      <c r="Q11" s="52">
        <f t="shared" si="4"/>
        <v>2100</v>
      </c>
      <c r="R11" s="53"/>
      <c r="S11" s="49"/>
      <c r="T11" s="49">
        <f t="shared" si="5"/>
        <v>6</v>
      </c>
      <c r="U11" s="59"/>
      <c r="V11" s="62"/>
      <c r="W11" s="53"/>
      <c r="X11" s="53"/>
      <c r="Y11" s="58"/>
      <c r="Z11" s="58">
        <v>3</v>
      </c>
    </row>
    <row r="12" spans="1:26" ht="18.649999999999999" customHeight="1" x14ac:dyDescent="0.35">
      <c r="A12" s="48" t="s">
        <v>85</v>
      </c>
      <c r="B12" s="49">
        <v>10</v>
      </c>
      <c r="C12" s="49"/>
      <c r="D12" s="49"/>
      <c r="E12" s="49"/>
      <c r="F12" s="50"/>
      <c r="G12" s="50">
        <v>5010</v>
      </c>
      <c r="H12" s="50">
        <f t="shared" si="6"/>
        <v>187.875</v>
      </c>
      <c r="I12" s="50"/>
      <c r="J12" s="50">
        <f t="shared" si="1"/>
        <v>0</v>
      </c>
      <c r="K12" s="50"/>
      <c r="L12" s="50">
        <f t="shared" si="2"/>
        <v>0</v>
      </c>
      <c r="M12" s="50"/>
      <c r="N12" s="49"/>
      <c r="O12" s="51">
        <f t="shared" si="3"/>
        <v>12.9946875</v>
      </c>
      <c r="P12" s="49"/>
      <c r="Q12" s="52">
        <f t="shared" si="4"/>
        <v>2100</v>
      </c>
      <c r="R12" s="53"/>
      <c r="S12" s="49"/>
      <c r="T12" s="49">
        <f t="shared" si="5"/>
        <v>6</v>
      </c>
      <c r="U12" s="59"/>
      <c r="V12" s="62"/>
      <c r="W12" s="53"/>
      <c r="X12" s="53"/>
      <c r="Y12" s="58"/>
      <c r="Z12" s="58"/>
    </row>
    <row r="13" spans="1:26" ht="18.649999999999999" customHeight="1" x14ac:dyDescent="0.35">
      <c r="A13" s="48" t="s">
        <v>86</v>
      </c>
      <c r="B13" s="49">
        <v>20</v>
      </c>
      <c r="C13" s="49"/>
      <c r="D13" s="49"/>
      <c r="E13" s="49"/>
      <c r="F13" s="50"/>
      <c r="G13" s="50">
        <v>3705</v>
      </c>
      <c r="H13" s="50">
        <f t="shared" si="6"/>
        <v>138.9375</v>
      </c>
      <c r="I13" s="50"/>
      <c r="J13" s="50">
        <f t="shared" si="1"/>
        <v>0</v>
      </c>
      <c r="K13" s="50"/>
      <c r="L13" s="50">
        <f t="shared" si="2"/>
        <v>0</v>
      </c>
      <c r="M13" s="50"/>
      <c r="N13" s="49"/>
      <c r="O13" s="51">
        <f t="shared" si="3"/>
        <v>9.6098437499999996</v>
      </c>
      <c r="P13" s="49"/>
      <c r="Q13" s="52">
        <f t="shared" si="4"/>
        <v>4200</v>
      </c>
      <c r="R13" s="53"/>
      <c r="S13" s="49"/>
      <c r="T13" s="49">
        <f t="shared" si="5"/>
        <v>12</v>
      </c>
      <c r="U13" s="59"/>
      <c r="V13" s="62"/>
      <c r="W13" s="53"/>
      <c r="X13" s="53"/>
      <c r="Y13" s="58"/>
      <c r="Z13" s="58">
        <v>2</v>
      </c>
    </row>
    <row r="14" spans="1:26" ht="18.649999999999999" customHeight="1" x14ac:dyDescent="0.35">
      <c r="A14" s="48" t="s">
        <v>90</v>
      </c>
      <c r="B14" s="49">
        <v>60</v>
      </c>
      <c r="C14" s="49"/>
      <c r="D14" s="49"/>
      <c r="E14" s="49"/>
      <c r="F14" s="50"/>
      <c r="G14" s="50">
        <v>13626</v>
      </c>
      <c r="H14" s="50">
        <f t="shared" si="6"/>
        <v>510.97499999999997</v>
      </c>
      <c r="I14" s="50"/>
      <c r="J14" s="50">
        <f t="shared" si="1"/>
        <v>0</v>
      </c>
      <c r="K14" s="50"/>
      <c r="L14" s="50">
        <f t="shared" si="2"/>
        <v>0</v>
      </c>
      <c r="M14" s="50"/>
      <c r="N14" s="49"/>
      <c r="O14" s="51"/>
      <c r="P14" s="49"/>
      <c r="Q14" s="52">
        <f t="shared" si="4"/>
        <v>12600</v>
      </c>
      <c r="R14" s="53"/>
      <c r="S14" s="49"/>
      <c r="T14" s="49">
        <f t="shared" si="5"/>
        <v>36</v>
      </c>
      <c r="U14" s="59"/>
      <c r="V14" s="62"/>
      <c r="W14" s="53"/>
      <c r="X14" s="53"/>
      <c r="Y14" s="58"/>
      <c r="Z14" s="58">
        <v>4</v>
      </c>
    </row>
    <row r="15" spans="1:26" ht="18.649999999999999" customHeight="1" x14ac:dyDescent="0.35">
      <c r="A15" s="3" t="s">
        <v>59</v>
      </c>
      <c r="B15" s="47">
        <f t="shared" ref="B15:S15" si="7">SUM(B2:B14)</f>
        <v>912</v>
      </c>
      <c r="C15" s="47">
        <f t="shared" si="7"/>
        <v>0</v>
      </c>
      <c r="D15" s="47">
        <f t="shared" si="7"/>
        <v>4</v>
      </c>
      <c r="E15" s="47">
        <f t="shared" si="7"/>
        <v>5</v>
      </c>
      <c r="F15" s="47">
        <f t="shared" si="7"/>
        <v>0</v>
      </c>
      <c r="G15" s="47">
        <f t="shared" si="7"/>
        <v>243542</v>
      </c>
      <c r="H15" s="47">
        <f t="shared" si="7"/>
        <v>9132.8250000000007</v>
      </c>
      <c r="I15" s="47">
        <f t="shared" si="7"/>
        <v>30928</v>
      </c>
      <c r="J15" s="47">
        <f t="shared" si="7"/>
        <v>1159.8</v>
      </c>
      <c r="K15" s="47">
        <f t="shared" si="7"/>
        <v>38952</v>
      </c>
      <c r="L15" s="47">
        <f t="shared" si="7"/>
        <v>1460.7</v>
      </c>
      <c r="M15" s="47">
        <f t="shared" si="7"/>
        <v>0</v>
      </c>
      <c r="N15" s="47">
        <f t="shared" si="7"/>
        <v>17</v>
      </c>
      <c r="O15" s="47">
        <f t="shared" si="7"/>
        <v>773.94412499999999</v>
      </c>
      <c r="P15" s="47">
        <f t="shared" si="7"/>
        <v>6</v>
      </c>
      <c r="Q15" s="47">
        <f t="shared" si="7"/>
        <v>191520</v>
      </c>
      <c r="R15" s="47">
        <f t="shared" si="7"/>
        <v>0</v>
      </c>
      <c r="S15" s="47">
        <f t="shared" si="7"/>
        <v>0</v>
      </c>
      <c r="U15" s="64">
        <f>SUM(U2:U14)</f>
        <v>534</v>
      </c>
      <c r="V15" s="65">
        <f>SUM(V2:V14)</f>
        <v>7</v>
      </c>
      <c r="W15" s="54"/>
      <c r="X15" s="54"/>
      <c r="Y15" s="66">
        <f>SUM(Y2:Y14)</f>
        <v>60</v>
      </c>
      <c r="Z15" s="66">
        <f>SUM(Z2:Z14)</f>
        <v>84</v>
      </c>
    </row>
    <row r="16" spans="1:26" ht="18.649999999999999" customHeight="1" x14ac:dyDescent="0.35">
      <c r="U16" s="54"/>
    </row>
    <row r="17" spans="2:11" ht="18.649999999999999" customHeight="1" x14ac:dyDescent="0.35">
      <c r="B17" s="47"/>
    </row>
    <row r="18" spans="2:11" x14ac:dyDescent="0.35">
      <c r="H18" s="25"/>
      <c r="I18" s="25"/>
      <c r="J18" s="25"/>
      <c r="K18" s="25"/>
    </row>
    <row r="19" spans="2:11" x14ac:dyDescent="0.35">
      <c r="H19" s="25"/>
      <c r="I19" s="25"/>
      <c r="J19" s="25"/>
      <c r="K19" s="55"/>
    </row>
    <row r="20" spans="2:11" x14ac:dyDescent="0.35">
      <c r="H20" s="25"/>
      <c r="I20" s="53"/>
      <c r="J20" s="25"/>
      <c r="K20" s="55"/>
    </row>
    <row r="21" spans="2:11" x14ac:dyDescent="0.35">
      <c r="H21" s="55"/>
      <c r="I21" s="53"/>
      <c r="J21" s="25"/>
      <c r="K21" s="55"/>
    </row>
    <row r="22" spans="2:11" x14ac:dyDescent="0.35">
      <c r="H22" s="55"/>
      <c r="I22" s="56"/>
      <c r="J22" s="25"/>
      <c r="K22" s="55"/>
    </row>
    <row r="23" spans="2:11" x14ac:dyDescent="0.35">
      <c r="H23" s="55"/>
      <c r="I23" s="57"/>
      <c r="J23" s="25"/>
      <c r="K23" s="55"/>
    </row>
    <row r="24" spans="2:11" x14ac:dyDescent="0.35">
      <c r="H24" s="25"/>
      <c r="I24" s="25"/>
      <c r="J24" s="25"/>
      <c r="K24" s="25"/>
    </row>
    <row r="25" spans="2:11" x14ac:dyDescent="0.35">
      <c r="H25" s="25"/>
      <c r="I25" s="25"/>
      <c r="J25" s="25"/>
      <c r="K25" s="25"/>
    </row>
  </sheetData>
  <phoneticPr fontId="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Cost Estimate</vt:lpstr>
      <vt:lpstr>Serving Areas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Buster Brady</dc:creator>
  <cp:lastModifiedBy>Callicoat, Anna</cp:lastModifiedBy>
  <dcterms:created xsi:type="dcterms:W3CDTF">2023-08-28T12:25:53Z</dcterms:created>
  <dcterms:modified xsi:type="dcterms:W3CDTF">2025-09-05T17:26:42Z</dcterms:modified>
</cp:coreProperties>
</file>